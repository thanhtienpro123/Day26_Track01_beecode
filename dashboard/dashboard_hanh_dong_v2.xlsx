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5ad048b92a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54ab1e8360b4c93"/>
    <x:sheet xmlns:r="http://schemas.openxmlformats.org/officeDocument/2006/relationships" name="NhatKy" sheetId="2" r:id="Rbc99b188e51b4a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8">
    <x:font>
      <x:sz val="11"/>
      <x:name val="Carlito"/>
    </x:font>
    <x:font>
      <x:sz val="10"/>
      <x:color rgb="FF17324D"/>
      <x:name val="Arial"/>
    </x:font>
    <x:font>
      <x:b/>
      <x:sz val="15"/>
      <x:color rgb="FF17324D"/>
      <x:name val="Arial"/>
    </x:font>
    <x:font>
      <x:i/>
      <x:sz val="10"/>
      <x:color rgb="FF596777"/>
      <x:name val="Arial"/>
    </x:font>
    <x:font>
      <x:sz val="10"/>
      <x:color rgb="FF59677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b/>
      <x:sz val="10"/>
      <x:color rgb="FF285C8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FFF1C2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CE5EB"/>
      </x:bottom>
      <x:diagonal/>
    </x:border>
    <x:border>
      <x:left/>
      <x:right/>
      <x:top style="thin">
        <x:color rgb="FFDCE5EB"/>
      </x:top>
      <x:bottom style="thin">
        <x:color rgb="FFDCE5EB"/>
      </x:bottom>
      <x:diagonal/>
    </x:border>
    <x:border>
      <x:left/>
      <x:right/>
      <x:top style="thin">
        <x:color rgb="FFDCE5EB"/>
      </x:top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200" fontId="1" fillId="3" borderId="1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3" borderId="3" xfId="0" applyNumberFormat="1" applyFont="1" applyFill="1" applyBorder="1" applyAlignment="1">
      <x:alignment vertical="center" wrapText="1"/>
    </x:xf>
    <x:xf numFmtId="201" fontId="1" fillId="3" borderId="2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df572aba44537" /><Relationship Type="http://schemas.openxmlformats.org/officeDocument/2006/relationships/theme" Target="/xl/theme/theme1.xml" Id="R38e82887bb634bfb" /><Relationship Type="http://schemas.openxmlformats.org/officeDocument/2006/relationships/sharedStrings" Target="/xl/sharedStrings.xml" Id="R222bc55431104a2c" /><Relationship Type="http://schemas.openxmlformats.org/officeDocument/2006/relationships/worksheet" Target="/xl/worksheets/sheet1.xml" Id="R354ab1e8360b4c93" /><Relationship Type="http://schemas.openxmlformats.org/officeDocument/2006/relationships/worksheet" Target="/xl/worksheets/sheet2.xml" Id="Rbc99b188e51b4a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5" hidden="0" customWidth="1"/>
    <x:col min="4" max="4" width="18" hidden="0" customWidth="1"/>
    <x:col min="5" max="5" width="19" hidden="0" customWidth="1"/>
    <x:col min="6" max="6" width="18" hidden="0" customWidth="1"/>
    <x:col min="7" max="7" width="29" hidden="0" customWidth="1"/>
    <x:col min="8" max="8" width="18" hidden="0" customWidth="1"/>
    <x:col min="9" max="9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3" t="str">
        <x:v>DASHBOARD HÀNH ĐỘNG CHO ÁP DỤNG AI · v2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4" t="str">
        <x:v>Sản phẩm: trợ lý tra cứu tài liệu nội bộ  |  Người dùng: nhân viên vận hành  |  Pilot: 1 nhóm</x:v>
      </x:c>
      <x:c r="B3" s="2"/>
      <x:c r="C3" s="2"/>
      <x:c r="D3" s="2"/>
      <x:c r="E3" s="2"/>
      <x:c r="F3" s="2"/>
      <x:c r="G3" s="2"/>
      <x:c r="H3" s="2"/>
      <x:c r="I3" s="2"/>
    </x:row>
    <x:row r="4" ht="28" customHeight="1">
      <x:c r="A4" s="5" t="str">
        <x:v>Tình huống lab giả định · chưa có log thực tế. Baseline = D1–D7; theo dõi = D8–D60. Mục tiêu đề xuất, xác nhận tại gate 30.</x:v>
      </x:c>
      <x:c r="B4" s="2"/>
      <x:c r="C4" s="2"/>
      <x:c r="D4" s="2"/>
      <x:c r="E4" s="2"/>
      <x:c r="F4" s="2"/>
      <x:c r="G4" s="2"/>
      <x:c r="H4" s="2"/>
      <x:c r="I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8" t="str">
        <x:v>Tầng đo</x:v>
      </x:c>
      <x:c r="B6" s="8" t="str">
        <x:v>Phạm vi</x:v>
      </x:c>
      <x:c r="C6" s="8" t="str">
        <x:v>Chỉ số / định nghĩa ngắn</x:v>
      </x:c>
      <x:c r="D6" s="8" t="str">
        <x:v>Mốc đầu</x:v>
      </x:c>
      <x:c r="E6" s="8" t="str">
        <x:v>Mục tiêu</x:v>
      </x:c>
      <x:c r="F6" s="8" t="str">
        <x:v>Theo dõi</x:v>
      </x:c>
      <x:c r="G6" s="8" t="str">
        <x:v>Nguồn dữ liệu</x:v>
      </x:c>
      <x:c r="H6" s="8" t="str">
        <x:v>Phụ trách</x:v>
      </x:c>
      <x:c r="I6" s="8" t="str">
        <x:v>Khi chỉ số xấu</x:v>
      </x:c>
    </x:row>
    <x:row r="7" ht="58" customHeight="1">
      <x:c r="A7" s="10" t="str">
        <x:v>1 · Sử dụng</x:v>
      </x:c>
      <x:c r="B7" s="10" t="str">
        <x:v>Workflow · SOP</x:v>
      </x:c>
      <x:c r="C7" s="10" t="str">
        <x:v>Tỷ lệ tác vụ tra cứu SOP dùng AI</x:v>
      </x:c>
      <x:c r="D7" s="19" t="str">
        <x:f>IF(COUNTIFS(NhatKy!$A$6:$A$205,"Baseline",NhatKy!$B$6:$B$205,"Tra cứu SOP")=0,"Chưa đo",SUMIFS(NhatKy!$D$6:$D$205,NhatKy!$A$6:$A$205,"Baseline",NhatKy!$B$6:$B$205,"Tra cứu SOP")/COUNTIFS(NhatKy!$A$6:$A$205,"Baseline",NhatKy!$B$6:$B$205,"Tra cứu SOP"))</x:f>
        <x:v>Chưa đo</x:v>
      </x:c>
      <x:c r="E7" s="19" t="n">
        <x:v>0.7</x:v>
      </x:c>
      <x:c r="F7" s="19" t="str">
        <x:f>IF(COUNTIFS(NhatKy!$A$6:$A$205,"Theo dõi",NhatKy!$B$6:$B$205,"Tra cứu SOP")=0,"Chưa đo",SUMIFS(NhatKy!$D$6:$D$205,NhatKy!$A$6:$A$205,"Theo dõi",NhatKy!$B$6:$B$205,"Tra cứu SOP")/COUNTIFS(NhatKy!$A$6:$A$205,"Theo dõi",NhatKy!$B$6:$B$205,"Tra cứu SOP"))</x:f>
        <x:v>Chưa đo</x:v>
      </x:c>
      <x:c r="G7" s="10" t="str">
        <x:v>Log tác vụ + log AI</x:v>
      </x:c>
      <x:c r="H7" s="16" t="str">
        <x:v>Nguyễn Thành Tiến</x:v>
      </x:c>
      <x:c r="I7" s="10" t="str">
        <x:v>Quan sát 5 ca không dùng; sửa điểm vào quy trình.</x:v>
      </x:c>
    </x:row>
    <x:row r="8" ht="58" customHeight="1">
      <x:c r="A8" s="11" t="str">
        <x:v>2 · Hành vi</x:v>
      </x:c>
      <x:c r="B8" s="11" t="str">
        <x:v>Workflow · 3</x:v>
      </x:c>
      <x:c r="C8" s="11" t="str">
        <x:v>Tỷ lệ lượt dùng AI có người kiểm nguồn</x:v>
      </x:c>
      <x:c r="D8" s="20" t="str">
        <x:f>IF(SUMIFS(NhatKy!$D$6:$D$205,NhatKy!$A$6:$A$205,"Baseline")=0,"Chưa đo",SUMIFS(NhatKy!$F$6:$F$205,NhatKy!$A$6:$A$205,"Baseline")/SUMIFS(NhatKy!$D$6:$D$205,NhatKy!$A$6:$A$205,"Baseline"))</x:f>
        <x:v>Chưa đo</x:v>
      </x:c>
      <x:c r="E8" s="20" t="n">
        <x:v>0.9</x:v>
      </x:c>
      <x:c r="F8" s="20" t="str">
        <x:f>IF(SUMIFS(NhatKy!$D$6:$D$205,NhatKy!$A$6:$A$205,"Theo dõi")=0,"Chưa đo",SUMIFS(NhatKy!$F$6:$F$205,NhatKy!$A$6:$A$205,"Theo dõi")/SUMIFS(NhatKy!$D$6:$D$205,NhatKy!$A$6:$A$205,"Theo dõi"))</x:f>
        <x:v>Chưa đo</x:v>
      </x:c>
      <x:c r="G8" s="11" t="str">
        <x:v>Log tác vụ: AI, kiểm nguồn</x:v>
      </x:c>
      <x:c r="H8" s="17" t="str">
        <x:v>Văn A</x:v>
      </x:c>
      <x:c r="I8" s="11" t="str">
        <x:v>Đặt bước xác minh bắt buộc trước khi dùng kết quả.</x:v>
      </x:c>
    </x:row>
    <x:row r="9" ht="58" customHeight="1">
      <x:c r="A9" s="11" t="str">
        <x:v>3 · Năng suất</x:v>
      </x:c>
      <x:c r="B9" s="11" t="str">
        <x:v>Workflow · SOP</x:v>
      </x:c>
      <x:c r="C9" s="11" t="str">
        <x:v>Phút xử lý TB / tác vụ SOP hoàn thành</x:v>
      </x:c>
      <x:c r="D9" s="22" t="str">
        <x:f>IF(COUNTIFS(NhatKy!$A$6:$A$205,"Baseline",NhatKy!$B$6:$B$205,"Tra cứu SOP",NhatKy!$H$6:$H$205,1,NhatKy!$G$6:$G$205,"&gt;0")=0,"Chưa đo",SUMIFS(NhatKy!$G$6:$G$205,NhatKy!$A$6:$A$205,"Baseline",NhatKy!$B$6:$B$205,"Tra cứu SOP",NhatKy!$H$6:$H$205,1)/COUNTIFS(NhatKy!$A$6:$A$205,"Baseline",NhatKy!$B$6:$B$205,"Tra cứu SOP",NhatKy!$H$6:$H$205,1,NhatKy!$G$6:$G$205,"&gt;0"))</x:f>
        <x:v>Chưa đo</x:v>
      </x:c>
      <x:c r="E9" s="22" t="str">
        <x:f>IF(ISNUMBER(D9),D9*0.8,"Chốt sau baseline")</x:f>
        <x:v>Chốt sau baseline</x:v>
      </x:c>
      <x:c r="F9" s="22" t="str">
        <x:f>IF(COUNTIFS(NhatKy!$A$6:$A$205,"Theo dõi",NhatKy!$B$6:$B$205,"Tra cứu SOP",NhatKy!$H$6:$H$205,1,NhatKy!$G$6:$G$205,"&gt;0")=0,"Chưa đo",SUMIFS(NhatKy!$G$6:$G$205,NhatKy!$A$6:$A$205,"Theo dõi",NhatKy!$B$6:$B$205,"Tra cứu SOP",NhatKy!$H$6:$H$205,1)/COUNTIFS(NhatKy!$A$6:$A$205,"Theo dõi",NhatKy!$B$6:$B$205,"Tra cứu SOP",NhatKy!$H$6:$H$205,1,NhatKy!$G$6:$G$205,"&gt;0"))</x:f>
        <x:v>Chưa đo</x:v>
      </x:c>
      <x:c r="G9" s="11" t="str">
        <x:v>Phút xử lý từ log tác vụ</x:v>
      </x:c>
      <x:c r="H9" s="17" t="str">
        <x:v>Nguyễn Thành Tiến</x:v>
      </x:c>
      <x:c r="I9" s="11" t="str">
        <x:v>Xem lại các bước chờ, kiểm nguồn và ca ngoại lệ.</x:v>
      </x:c>
    </x:row>
    <x:row r="10" ht="58" customHeight="1">
      <x:c r="A10" s="11" t="str">
        <x:v>4 · Chất lượng</x:v>
      </x:c>
      <x:c r="B10" s="11" t="str">
        <x:v>Product</x:v>
      </x:c>
      <x:c r="C10" s="11" t="str">
        <x:v>Tỷ lệ câu trả lời AI có nguồn hợp lệ</x:v>
      </x:c>
      <x:c r="D10" s="20" t="str">
        <x:f>IF(SUMIFS(NhatKy!$D$6:$D$205,NhatKy!$A$6:$A$205,"Baseline")=0,"Chưa đo",SUMIFS(NhatKy!$E$6:$E$205,NhatKy!$A$6:$A$205,"Baseline")/SUMIFS(NhatKy!$D$6:$D$205,NhatKy!$A$6:$A$205,"Baseline"))</x:f>
        <x:v>Chưa đo</x:v>
      </x:c>
      <x:c r="E10" s="20" t="n">
        <x:v>0.95</x:v>
      </x:c>
      <x:c r="F10" s="20" t="str">
        <x:f>IF(SUMIFS(NhatKy!$D$6:$D$205,NhatKy!$A$6:$A$205,"Theo dõi")=0,"Chưa đo",SUMIFS(NhatKy!$E$6:$E$205,NhatKy!$A$6:$A$205,"Theo dõi")/SUMIFS(NhatKy!$D$6:$D$205,NhatKy!$A$6:$A$205,"Theo dõi"))</x:f>
        <x:v>Chưa đo</x:v>
      </x:c>
      <x:c r="G10" s="11" t="str">
        <x:v>Log AI + QA nguồn theo mẫu</x:v>
      </x:c>
      <x:c r="H10" s="17" t="str">
        <x:v>Ngyễn B</x:v>
      </x:c>
      <x:c r="I10" s="11" t="str">
        <x:v>Khoá nguồn lỗi; tăng QA mẫu; sửa truy xuất.</x:v>
      </x:c>
    </x:row>
    <x:row r="11" ht="58" customHeight="1">
      <x:c r="A11" s="11" t="str">
        <x:v>5 · Giá trị</x:v>
      </x:c>
      <x:c r="B11" s="11" t="str">
        <x:v>Workflow · SOP</x:v>
      </x:c>
      <x:c r="C11" s="11" t="str">
        <x:v>Tỷ lệ tác vụ SOP hoàn thành không phải QA làm lại</x:v>
      </x:c>
      <x:c r="D11" s="20" t="str">
        <x:f>IF(SUMIFS(NhatKy!$H$6:$H$205,NhatKy!$A$6:$A$205,"Baseline",NhatKy!$B$6:$B$205,"Tra cứu SOP")=0,"Chưa đo",SUMIFS(NhatKy!$I$6:$I$205,NhatKy!$A$6:$A$205,"Baseline",NhatKy!$B$6:$B$205,"Tra cứu SOP")/SUMIFS(NhatKy!$H$6:$H$205,NhatKy!$A$6:$A$205,"Baseline",NhatKy!$B$6:$B$205,"Tra cứu SOP"))</x:f>
        <x:v>Chưa đo</x:v>
      </x:c>
      <x:c r="E11" s="20" t="n">
        <x:v>0.85</x:v>
      </x:c>
      <x:c r="F11" s="20" t="str">
        <x:f>IF(SUMIFS(NhatKy!$H$6:$H$205,NhatKy!$A$6:$A$205,"Theo dõi",NhatKy!$B$6:$B$205,"Tra cứu SOP")=0,"Chưa đo",SUMIFS(NhatKy!$I$6:$I$205,NhatKy!$A$6:$A$205,"Theo dõi",NhatKy!$B$6:$B$205,"Tra cứu SOP")/SUMIFS(NhatKy!$H$6:$H$205,NhatKy!$A$6:$A$205,"Theo dõi",NhatKy!$B$6:$B$205,"Tra cứu SOP"))</x:f>
        <x:v>Chưa đo</x:v>
      </x:c>
      <x:c r="G11" s="11" t="str">
        <x:v>Phiếu QA gắn ID tác vụ</x:v>
      </x:c>
      <x:c r="H11" s="17" t="str">
        <x:v>Ngyễn B</x:v>
      </x:c>
      <x:c r="I11" s="11" t="str">
        <x:v>Phân loại lỗi; sửa SOP hoặc dừng use case lỗi.</x:v>
      </x:c>
    </x:row>
    <x:row r="12" ht="58" customHeight="1">
      <x:c r="A12" s="12" t="str">
        <x:v>Rủi ro</x:v>
      </x:c>
      <x:c r="B12" s="12" t="str">
        <x:v>Product</x:v>
      </x:c>
      <x:c r="C12" s="12" t="str">
        <x:v>Tỷ lệ ca thiếu nguồn được chuyển người</x:v>
      </x:c>
      <x:c r="D12" s="21" t="str">
        <x:f>IF(SUMIFS(NhatKy!$J$6:$J$205,NhatKy!$A$6:$A$205,"Baseline")=0,"Chưa đo",SUMIFS(NhatKy!$K$6:$K$205,NhatKy!$A$6:$A$205,"Baseline")/SUMIFS(NhatKy!$J$6:$J$205,NhatKy!$A$6:$A$205,"Baseline"))</x:f>
        <x:v>Chưa đo</x:v>
      </x:c>
      <x:c r="E12" s="21" t="n">
        <x:v>1</x:v>
      </x:c>
      <x:c r="F12" s="21" t="str">
        <x:f>IF(SUMIFS(NhatKy!$J$6:$J$205,NhatKy!$A$6:$A$205,"Theo dõi")=0,"Chưa đo",SUMIFS(NhatKy!$K$6:$K$205,NhatKy!$A$6:$A$205,"Theo dõi")/SUMIFS(NhatKy!$J$6:$J$205,NhatKy!$A$6:$A$205,"Theo dõi"))</x:f>
        <x:v>Chưa đo</x:v>
      </x:c>
      <x:c r="G12" s="12" t="str">
        <x:v>Log ngoại lệ / bàn giao</x:v>
      </x:c>
      <x:c r="H12" s="18" t="str">
        <x:v>Văn A</x:v>
      </x:c>
      <x:c r="I12" s="12" t="str">
        <x:v>Dừng trả lời tự động; xử lý ca tồn và sửa ngưỡng.</x:v>
      </x:c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</x:row>
    <x:row r="15">
      <x:c r="A15" s="24" t="str">
        <x:v>Quy tắc đo và ra quyết định</x:v>
      </x:c>
      <x:c r="B15" s="23"/>
      <x:c r="C15" s="23"/>
      <x:c r="D15" s="23"/>
      <x:c r="E15" s="23"/>
      <x:c r="F15" s="23"/>
      <x:c r="G15" s="23"/>
      <x:c r="H15" s="23"/>
      <x:c r="I15" s="23"/>
    </x:row>
    <x:row r="16" ht="25" customHeight="1">
      <x:c r="A16" s="2" t="str">
        <x:v>Ba workflow: (1) tra cứu SOP để xử lý yêu cầu, (2) đối chiếu phiên bản chính sách, (3) trả lời câu hỏi nội bộ. Nhóm chính: nhân viên vận hành.</x:v>
      </x:c>
      <x:c r="B16" s="2"/>
      <x:c r="C16" s="2"/>
      <x:c r="D16" s="2"/>
      <x:c r="E16" s="2"/>
      <x:c r="F16" s="2"/>
      <x:c r="G16" s="2"/>
      <x:c r="H16" s="2"/>
      <x:c r="I16" s="2"/>
    </x:row>
    <x:row r="17" ht="25" customHeight="1">
      <x:c r="A17" s="2" t="str">
        <x:v>Chỉ ghi 1 dòng cho mỗi tác vụ, ID duy nhất. Cột nhị phân nhận số 1 hoặc 0. Nguồn hợp lệ/người kiểm chỉ ghi 1 khi AI dùng = 1; chuyển người chỉ ghi 1 khi thiếu nguồn = 1.</x:v>
      </x:c>
      <x:c r="B17" s="2"/>
      <x:c r="C17" s="2"/>
      <x:c r="D17" s="2"/>
      <x:c r="E17" s="2"/>
      <x:c r="F17" s="2"/>
      <x:c r="G17" s="2"/>
      <x:c r="H17" s="2"/>
      <x:c r="I17" s="2"/>
    </x:row>
    <x:row r="18" ht="25" customHeight="1">
      <x:c r="A18" s="2" t="str">
        <x:v>Nguồn hợp lệ = link đúng tài liệu được phép truy cập, phiên bản còn hiệu lực, ngày cập nhật nhìn thấy và trích đoạn hỗ trợ câu trả lời.</x:v>
      </x:c>
      <x:c r="B18" s="2"/>
      <x:c r="C18" s="2"/>
      <x:c r="D18" s="2"/>
      <x:c r="E18" s="2"/>
      <x:c r="F18" s="2"/>
      <x:c r="G18" s="2"/>
      <x:c r="H18" s="2"/>
      <x:c r="I18" s="2"/>
    </x:row>
    <x:row r="19" ht="25" customHeight="1">
      <x:c r="A19" s="2" t="str">
        <x:v>Mọi chỉ số chưa có mẫu số trả về “Chưa đo”. Không coi giá trị 0 là dữ liệu thiếu. Gate 30 chốt baseline, data owner và mục tiêu với nhóm.</x:v>
      </x:c>
      <x:c r="B19" s="2"/>
      <x:c r="C19" s="2"/>
      <x:c r="D19" s="2"/>
      <x:c r="E19" s="2"/>
      <x:c r="F19" s="2"/>
      <x:c r="G19" s="2"/>
      <x:c r="H19" s="2"/>
      <x:c r="I19" s="2"/>
    </x:row>
    <x:row r="20" ht="25" customHeight="1">
      <x:c r="A20" s="2" t="str">
        <x:v>Gate 60: chất lượng ≥95%, kiểm nguồn ≥90%, chuyển người 100%; chỉ qua nếu đã QA tối thiểu 30 câu trả lời AI có nguồn.</x:v>
      </x:c>
      <x:c r="B20" s="2"/>
      <x:c r="C20" s="2"/>
      <x:c r="D20" s="2"/>
      <x:c r="E20" s="2"/>
      <x:c r="F20" s="2"/>
      <x:c r="G20" s="2"/>
      <x:c r="H20" s="2"/>
      <x:c r="I20" s="2"/>
    </x:row>
    <x:row r="21" ht="25" customHeight="1">
      <x:c r="A21" s="2" t="str">
        <x:v>Gate 90: thêm tỷ lệ không làm lại ≥85%, thời gian TB ≤80% baseline, mức dùng SOP ≥70%; nếu không đạt: SỬA, chưa mở rộng.</x:v>
      </x:c>
      <x:c r="B21" s="2"/>
      <x:c r="C21" s="2"/>
      <x:c r="D21" s="2"/>
      <x:c r="E21" s="2"/>
      <x:c r="F21" s="2"/>
      <x:c r="G21" s="2"/>
      <x:c r="H21" s="2"/>
      <x:c r="I21" s="2"/>
    </x:row>
    <x:row r="22">
      <x:c r="A22" s="25" t="str">
        <x:v>Ghi chú: quyết định hiện tại = SỬA trong pilot. Chưa có bằng chứng để tuyên bố đạt các gate hoặc mở rộng.</x:v>
      </x:c>
      <x:c r="B22" s="2"/>
      <x:c r="C22" s="2"/>
      <x:c r="D22" s="2"/>
      <x:c r="E22" s="2"/>
      <x:c r="F22" s="2"/>
      <x:c r="G22" s="2"/>
      <x:c r="H22" s="2"/>
      <x:c r="I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4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NHẬT KÝ TÁC VỤ · MẪU THU THẬP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4" t="str">
        <x:v>Điền dữ liệu thật; không ghi dữ liệu cá nhân hoặc tài liệu nội bộ nhạy cảm. Giai đoạn = Baseline hoặc Theo dõi.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8" t="str">
        <x:v>Giai đoạn</x:v>
      </x:c>
      <x:c r="B5" s="8" t="str">
        <x:v>Quy trình</x:v>
      </x:c>
      <x:c r="C5" s="8" t="str">
        <x:v>ID tác vụ</x:v>
      </x:c>
      <x:c r="D5" s="8" t="str">
        <x:v>AI dùng (1/0)</x:v>
      </x:c>
      <x:c r="E5" s="8" t="str">
        <x:v>Nguồn hợp lệ (1/0)</x:v>
      </x:c>
      <x:c r="F5" s="8" t="str">
        <x:v>Người kiểm (1/0)</x:v>
      </x:c>
      <x:c r="G5" s="8" t="str">
        <x:v>Phút xử lý</x:v>
      </x:c>
      <x:c r="H5" s="8" t="str">
        <x:v>Hoàn thành (1/0)</x:v>
      </x:c>
      <x:c r="I5" s="8" t="str">
        <x:v>Không QA làm lại (1/0)</x:v>
      </x:c>
      <x:c r="J5" s="8" t="str">
        <x:v>Thiếu nguồn (1/0)</x:v>
      </x:c>
      <x:c r="K5" s="8" t="str">
        <x:v>Chuyển người (1/0)</x:v>
      </x:c>
      <x:c r="L5" s="8" t="str">
        <x:v>Ghi chú lỗi</x:v>
      </x:c>
    </x:row>
    <x:row r="6" ht="22" customHeight="1">
      <x:c r="A6" s="26"/>
      <x:c r="B6" s="26"/>
      <x:c r="C6" s="26"/>
      <x:c r="D6" s="26"/>
      <x:c r="E6" s="26"/>
      <x:c r="F6" s="26"/>
      <x:c r="G6" s="26"/>
      <x:c r="H6" s="26"/>
      <x:c r="I6" s="26"/>
      <x:c r="J6" s="26"/>
      <x:c r="K6" s="26"/>
      <x:c r="L6" s="2"/>
    </x:row>
    <x:row r="7" ht="22" customHeight="1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"/>
    </x:row>
    <x:row r="8" ht="22" customHeight="1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"/>
    </x:row>
    <x:row r="9" ht="22" customHeight="1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"/>
    </x:row>
    <x:row r="10" ht="22" customHeight="1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"/>
    </x:row>
    <x:row r="11" ht="22" customHeight="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"/>
    </x:row>
    <x:row r="12" ht="22" customHeight="1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"/>
    </x:row>
    <x:row r="13" ht="22" customHeight="1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"/>
    </x:row>
    <x:row r="14" ht="22" customHeight="1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"/>
    </x:row>
    <x:row r="15" ht="22" customHeight="1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"/>
    </x:row>
    <x:row r="16" ht="22" customHeight="1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"/>
    </x:row>
    <x:row r="17" ht="22" customHeight="1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"/>
    </x:row>
    <x:row r="18" ht="22" customHeight="1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"/>
    </x:row>
    <x:row r="19" ht="22" customHeight="1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"/>
    </x:row>
    <x:row r="20" ht="22" customHeight="1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"/>
    </x:row>
    <x:row r="21" ht="22" customHeight="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"/>
    </x:row>
    <x:row r="22" ht="22" customHeight="1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"/>
    </x:row>
    <x:row r="23" ht="22" customHeight="1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"/>
    </x:row>
    <x:row r="24" ht="22" customHeight="1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"/>
    </x:row>
    <x:row r="25" ht="22" customHeight="1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"/>
    </x:row>
    <x:row r="26" ht="22" customHeight="1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"/>
    </x:row>
    <x:row r="27" ht="22" customHeight="1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"/>
    </x:row>
    <x:row r="28" ht="22" customHeight="1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"/>
    </x:row>
    <x:row r="29" ht="22" customHeight="1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"/>
    </x:row>
    <x:row r="30" ht="22" customHeight="1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"/>
    </x:row>
    <x:row r="31" ht="22" customHeight="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"/>
    </x:row>
    <x:row r="32" ht="22" customHeight="1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"/>
    </x:row>
    <x:row r="33" ht="22" customHeight="1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"/>
    </x:row>
    <x:row r="34" ht="22" customHeight="1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"/>
    </x:row>
    <x:row r="35" ht="22" customHeight="1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"/>
    </x:row>
    <x:row r="36" ht="22" customHeight="1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"/>
    </x:row>
    <x:row r="37" ht="22" customHeight="1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"/>
    </x:row>
    <x:row r="38" ht="22" customHeight="1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"/>
    </x:row>
    <x:row r="39" ht="22" customHeight="1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"/>
    </x:row>
    <x:row r="40" ht="22" customHeight="1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"/>
    </x:row>
    <x:row r="41" ht="22" customHeight="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"/>
    </x:row>
    <x:row r="42" ht="22" customHeight="1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"/>
    </x:row>
    <x:row r="43" ht="22" customHeight="1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"/>
    </x:row>
    <x:row r="44" ht="22" customHeight="1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"/>
    </x:row>
    <x:row r="45" ht="22" customHeight="1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"/>
    </x:row>
    <x:row r="46" ht="22" customHeight="1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"/>
    </x:row>
    <x:row r="47" ht="22" customHeight="1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"/>
    </x:row>
    <x:row r="48" ht="22" customHeight="1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"/>
    </x:row>
    <x:row r="49" ht="22" customHeight="1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"/>
    </x:row>
    <x:row r="50" ht="22" customHeight="1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"/>
    </x:row>
    <x:row r="51" ht="22" customHeight="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"/>
    </x:row>
    <x:row r="52" ht="22" customHeight="1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"/>
    </x:row>
    <x:row r="53" ht="22" customHeight="1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"/>
    </x:row>
    <x:row r="54" ht="22" customHeight="1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"/>
    </x:row>
    <x:row r="55" ht="22" customHeight="1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"/>
    </x:row>
    <x:row r="56" ht="22" customHeight="1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"/>
    </x:row>
    <x:row r="57" ht="22" customHeight="1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"/>
    </x:row>
    <x:row r="58" ht="22" customHeight="1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"/>
    </x:row>
    <x:row r="59" ht="22" customHeight="1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"/>
    </x:row>
    <x:row r="60" ht="22" customHeight="1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"/>
    </x:row>
    <x:row r="61" ht="22" customHeight="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"/>
    </x:row>
    <x:row r="62" ht="22" customHeight="1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"/>
    </x:row>
    <x:row r="63" ht="22" customHeight="1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"/>
    </x:row>
    <x:row r="64" ht="22" customHeight="1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"/>
    </x:row>
    <x:row r="65" ht="22" customHeight="1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"/>
    </x:row>
    <x:row r="66" ht="22" customHeight="1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"/>
    </x:row>
    <x:row r="67" ht="22" customHeight="1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"/>
    </x:row>
    <x:row r="68" ht="22" customHeight="1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"/>
    </x:row>
    <x:row r="69" ht="22" customHeight="1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"/>
    </x:row>
    <x:row r="70" ht="22" customHeight="1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"/>
    </x:row>
    <x:row r="71" ht="22" customHeight="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"/>
    </x:row>
    <x:row r="72" ht="22" customHeight="1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"/>
    </x:row>
    <x:row r="73" ht="22" customHeight="1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"/>
    </x:row>
    <x:row r="74" ht="22" customHeight="1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"/>
    </x:row>
    <x:row r="75" ht="22" customHeight="1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"/>
    </x:row>
    <x:row r="76" ht="22" customHeight="1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"/>
    </x:row>
    <x:row r="77" ht="22" customHeight="1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"/>
    </x:row>
    <x:row r="78" ht="22" customHeight="1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"/>
    </x:row>
    <x:row r="79" ht="22" customHeight="1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"/>
    </x:row>
    <x:row r="80" ht="22" customHeight="1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"/>
    </x:row>
    <x:row r="81" ht="22" customHeight="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"/>
    </x:row>
    <x:row r="82" ht="22" customHeight="1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"/>
    </x:row>
    <x:row r="83" ht="22" customHeight="1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"/>
    </x:row>
    <x:row r="84" ht="22" customHeight="1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"/>
    </x:row>
    <x:row r="85" ht="22" customHeight="1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"/>
    </x:row>
    <x:row r="86" ht="22" customHeight="1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"/>
    </x:row>
    <x:row r="87" ht="22" customHeight="1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"/>
    </x:row>
    <x:row r="88" ht="22" customHeight="1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"/>
    </x:row>
    <x:row r="89" ht="22" customHeight="1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"/>
    </x:row>
    <x:row r="90" ht="22" customHeight="1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"/>
    </x:row>
    <x:row r="91" ht="22" customHeight="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"/>
    </x:row>
    <x:row r="92" ht="22" customHeight="1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"/>
    </x:row>
    <x:row r="93" ht="22" customHeight="1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"/>
    </x:row>
    <x:row r="94" ht="22" customHeight="1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"/>
    </x:row>
    <x:row r="95" ht="22" customHeight="1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"/>
    </x:row>
    <x:row r="96" ht="22" customHeight="1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"/>
    </x:row>
    <x:row r="97" ht="22" customHeight="1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"/>
    </x:row>
    <x:row r="98" ht="22" customHeight="1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"/>
    </x:row>
    <x:row r="99" ht="22" customHeight="1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"/>
    </x:row>
    <x:row r="100" ht="22" customHeight="1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"/>
    </x:row>
    <x:row r="101" ht="22" customHeight="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"/>
    </x:row>
    <x:row r="102" ht="22" customHeight="1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"/>
    </x:row>
    <x:row r="103" ht="22" customHeight="1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"/>
    </x:row>
    <x:row r="104" ht="22" customHeight="1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"/>
    </x:row>
    <x:row r="105" ht="22" customHeight="1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"/>
    </x:row>
    <x:row r="106" ht="22" customHeight="1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"/>
    </x:row>
    <x:row r="107" ht="22" customHeight="1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"/>
    </x:row>
    <x:row r="108" ht="22" customHeight="1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"/>
    </x:row>
    <x:row r="109" ht="22" customHeight="1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"/>
    </x:row>
    <x:row r="110" ht="22" customHeight="1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"/>
    </x:row>
    <x:row r="111" ht="22" customHeight="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"/>
    </x:row>
    <x:row r="112" ht="22" customHeight="1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"/>
    </x:row>
    <x:row r="113" ht="22" customHeight="1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"/>
    </x:row>
    <x:row r="114" ht="22" customHeight="1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"/>
    </x:row>
    <x:row r="115" ht="22" customHeight="1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"/>
    </x:row>
    <x:row r="116" ht="22" customHeight="1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"/>
    </x:row>
    <x:row r="117" ht="22" customHeight="1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"/>
    </x:row>
    <x:row r="118" ht="22" customHeight="1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"/>
    </x:row>
    <x:row r="119" ht="22" customHeight="1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"/>
    </x:row>
    <x:row r="120" ht="22" customHeight="1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"/>
    </x:row>
    <x:row r="121" ht="22" customHeight="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"/>
    </x:row>
    <x:row r="122" ht="22" customHeight="1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"/>
    </x:row>
    <x:row r="123" ht="22" customHeight="1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"/>
    </x:row>
    <x:row r="124" ht="22" customHeight="1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"/>
    </x:row>
    <x:row r="125" ht="22" customHeight="1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"/>
    </x:row>
    <x:row r="126" ht="22" customHeight="1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"/>
    </x:row>
    <x:row r="127" ht="22" customHeight="1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"/>
    </x:row>
    <x:row r="128" ht="22" customHeight="1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"/>
    </x:row>
    <x:row r="129" ht="22" customHeight="1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"/>
    </x:row>
    <x:row r="130" ht="22" customHeight="1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"/>
    </x:row>
    <x:row r="131" ht="22" customHeight="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"/>
    </x:row>
    <x:row r="132" ht="22" customHeight="1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"/>
    </x:row>
    <x:row r="133" ht="22" customHeight="1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"/>
    </x:row>
    <x:row r="134" ht="22" customHeight="1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"/>
    </x:row>
    <x:row r="135" ht="22" customHeight="1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"/>
    </x:row>
    <x:row r="136" ht="22" customHeight="1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"/>
    </x:row>
    <x:row r="137" ht="22" customHeight="1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"/>
    </x:row>
    <x:row r="138" ht="22" customHeight="1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"/>
    </x:row>
    <x:row r="139" ht="22" customHeight="1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"/>
    </x:row>
    <x:row r="140" ht="22" customHeight="1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"/>
    </x:row>
    <x:row r="141" ht="22" customHeight="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"/>
    </x:row>
    <x:row r="142" ht="22" customHeight="1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"/>
    </x:row>
    <x:row r="143" ht="22" customHeight="1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"/>
    </x:row>
    <x:row r="144" ht="22" customHeight="1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"/>
    </x:row>
    <x:row r="145" ht="22" customHeight="1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"/>
    </x:row>
    <x:row r="146" ht="22" customHeight="1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"/>
    </x:row>
    <x:row r="147" ht="22" customHeight="1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"/>
    </x:row>
    <x:row r="148" ht="22" customHeight="1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"/>
    </x:row>
    <x:row r="149" ht="22" customHeight="1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"/>
    </x:row>
    <x:row r="150" ht="22" customHeight="1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"/>
    </x:row>
    <x:row r="151" ht="22" customHeight="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"/>
    </x:row>
    <x:row r="152" ht="22" customHeight="1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"/>
    </x:row>
    <x:row r="153" ht="22" customHeight="1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"/>
    </x:row>
    <x:row r="154" ht="22" customHeight="1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"/>
    </x:row>
    <x:row r="155" ht="22" customHeight="1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"/>
    </x:row>
    <x:row r="156" ht="22" customHeight="1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"/>
    </x:row>
    <x:row r="157" ht="22" customHeight="1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"/>
    </x:row>
    <x:row r="158" ht="22" customHeight="1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"/>
    </x:row>
    <x:row r="159" ht="22" customHeight="1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"/>
    </x:row>
    <x:row r="160" ht="22" customHeight="1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"/>
    </x:row>
    <x:row r="161" ht="22" customHeight="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"/>
    </x:row>
    <x:row r="162" ht="22" customHeight="1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"/>
    </x:row>
    <x:row r="163" ht="22" customHeight="1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"/>
    </x:row>
    <x:row r="164" ht="22" customHeight="1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"/>
    </x:row>
    <x:row r="165" ht="22" customHeight="1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"/>
    </x:row>
    <x:row r="166" ht="22" customHeight="1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"/>
    </x:row>
    <x:row r="167" ht="22" customHeight="1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"/>
    </x:row>
    <x:row r="168" ht="22" customHeight="1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"/>
    </x:row>
    <x:row r="169" ht="22" customHeight="1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"/>
    </x:row>
    <x:row r="170" ht="22" customHeight="1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"/>
    </x:row>
    <x:row r="171" ht="22" customHeight="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"/>
    </x:row>
    <x:row r="172" ht="22" customHeight="1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"/>
    </x:row>
    <x:row r="173" ht="22" customHeight="1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"/>
    </x:row>
    <x:row r="174" ht="22" customHeight="1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"/>
    </x:row>
    <x:row r="175" ht="22" customHeight="1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"/>
    </x:row>
    <x:row r="176" ht="22" customHeight="1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"/>
    </x:row>
    <x:row r="177" ht="22" customHeight="1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"/>
    </x:row>
    <x:row r="178" ht="22" customHeight="1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"/>
    </x:row>
    <x:row r="179" ht="22" customHeight="1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"/>
    </x:row>
    <x:row r="180" ht="22" customHeight="1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"/>
    </x:row>
    <x:row r="181" ht="22" customHeight="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"/>
    </x:row>
    <x:row r="182" ht="22" customHeight="1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"/>
    </x:row>
    <x:row r="183" ht="22" customHeight="1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"/>
    </x:row>
    <x:row r="184" ht="22" customHeight="1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"/>
    </x:row>
    <x:row r="185" ht="22" customHeight="1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"/>
    </x:row>
    <x:row r="186" ht="22" customHeight="1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"/>
    </x:row>
    <x:row r="187" ht="22" customHeight="1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"/>
    </x:row>
    <x:row r="188" ht="22" customHeight="1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"/>
    </x:row>
    <x:row r="189" ht="22" customHeight="1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"/>
    </x:row>
    <x:row r="190" ht="22" customHeight="1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"/>
    </x:row>
    <x:row r="191" ht="22" customHeight="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"/>
    </x:row>
    <x:row r="192" ht="22" customHeight="1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"/>
    </x:row>
    <x:row r="193" ht="22" customHeight="1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"/>
    </x:row>
    <x:row r="194" ht="22" customHeight="1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"/>
    </x:row>
    <x:row r="195" ht="22" customHeight="1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"/>
    </x:row>
    <x:row r="196" ht="22" customHeight="1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"/>
    </x:row>
    <x:row r="197" ht="22" customHeight="1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"/>
    </x:row>
    <x:row r="198" ht="22" customHeight="1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"/>
    </x:row>
    <x:row r="199" ht="22" customHeight="1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"/>
    </x:row>
    <x:row r="200" ht="22" customHeight="1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"/>
    </x:row>
    <x:row r="201" ht="22" customHeight="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"/>
    </x:row>
    <x:row r="202" ht="22" customHeight="1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"/>
    </x:row>
    <x:row r="203" ht="22" customHeight="1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"/>
    </x:row>
    <x:row r="204" ht="22" customHeight="1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"/>
    </x:row>
    <x:row r="205" ht="22" customHeight="1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"/>
    </x:row>
  </x:sheetData>
  <x:dataValidations count="9">
    <x:dataValidation type="list" sqref="A6:A205">
      <x:formula1>"Baseline,Theo dõi"</x:formula1>
    </x:dataValidation>
    <x:dataValidation type="list" sqref="B6:B205">
      <x:formula1>"Tra cứu SOP,Đối chiếu chính sách,Trả lời nội bộ"</x:formula1>
    </x:dataValidation>
    <x:dataValidation type="whole" operator="between" sqref="D6:D205">
      <x:formula1>0</x:formula1>
      <x:formula2>1</x:formula2>
    </x:dataValidation>
    <x:dataValidation type="whole" operator="between" sqref="E6:E205">
      <x:formula1>0</x:formula1>
      <x:formula2>1</x:formula2>
    </x:dataValidation>
    <x:dataValidation type="whole" operator="between" sqref="F6:F205">
      <x:formula1>0</x:formula1>
      <x:formula2>1</x:formula2>
    </x:dataValidation>
    <x:dataValidation type="whole" operator="between" sqref="H6:H205">
      <x:formula1>0</x:formula1>
      <x:formula2>1</x:formula2>
    </x:dataValidation>
    <x:dataValidation type="whole" operator="between" sqref="I6:I205">
      <x:formula1>0</x:formula1>
      <x:formula2>1</x:formula2>
    </x:dataValidation>
    <x:dataValidation type="whole" operator="between" sqref="J6:J205">
      <x:formula1>0</x:formula1>
      <x:formula2>1</x:formula2>
    </x:dataValidation>
    <x:dataValidation type="whole" operator="between" sqref="K6:K205">
      <x:formula1>0</x:formula1>
      <x:formula2>1</x:formula2>
    </x:dataValidation>
  </x:dataValidations>
  <x:pageMargins left="0.7" right="0.7" top="0.75" bottom="0.75" header="0.3" footer="0.3"/>
</x:worksheet>
</file>